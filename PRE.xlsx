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stituto Mix\Documents\"/>
    </mc:Choice>
  </mc:AlternateContent>
  <xr:revisionPtr revIDLastSave="0" documentId="13_ncr:1_{5824F413-81B9-4161-AD8E-38B3D2E717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 matricula" sheetId="1" r:id="rId1"/>
    <sheet name="banco de d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E8ZZ65KqY5uFTjTM3Mp3oZgVEY2eRqgTO8a/bDPhcQ="/>
    </ext>
  </extLst>
</workbook>
</file>

<file path=xl/calcChain.xml><?xml version="1.0" encoding="utf-8"?>
<calcChain xmlns="http://schemas.openxmlformats.org/spreadsheetml/2006/main">
  <c r="A71" i="2" l="1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E31" i="1"/>
  <c r="E29" i="1"/>
  <c r="E28" i="1" s="1"/>
  <c r="I10" i="1"/>
</calcChain>
</file>

<file path=xl/sharedStrings.xml><?xml version="1.0" encoding="utf-8"?>
<sst xmlns="http://schemas.openxmlformats.org/spreadsheetml/2006/main" count="208" uniqueCount="134">
  <si>
    <t>PRÉ - MATRÍCULA - CAMPO LARGO</t>
  </si>
  <si>
    <t>PROFISSIONALIZANTE</t>
  </si>
  <si>
    <t>01 - DADOS DA MATRICULA</t>
  </si>
  <si>
    <t>CURSO:</t>
  </si>
  <si>
    <t>CONFEITARIA + PANIFICAÇÃO</t>
  </si>
  <si>
    <t>TURMA:</t>
  </si>
  <si>
    <t xml:space="preserve">DISCIPLINA: </t>
  </si>
  <si>
    <t>DATA INÍCIO:</t>
  </si>
  <si>
    <t>PERIODO:</t>
  </si>
  <si>
    <t>NOITE</t>
  </si>
  <si>
    <t xml:space="preserve">02 - DADOS DO(A) ALUNO(A) </t>
  </si>
  <si>
    <t>NOME:</t>
  </si>
  <si>
    <t>DATA NASC:</t>
  </si>
  <si>
    <t>CPF:</t>
  </si>
  <si>
    <t>RG/RNE:</t>
  </si>
  <si>
    <t>EXPEDIDOR:</t>
  </si>
  <si>
    <t>SEXO:</t>
  </si>
  <si>
    <t>EST. CIVIL:</t>
  </si>
  <si>
    <t xml:space="preserve">NATURALIDADE: </t>
  </si>
  <si>
    <t>NACIONALIDADE:</t>
  </si>
  <si>
    <t>ESCOLARIDADE:</t>
  </si>
  <si>
    <t>PROFISSÃO:</t>
  </si>
  <si>
    <t>PAI:</t>
  </si>
  <si>
    <t>MÃE:</t>
  </si>
  <si>
    <t>03 - ENDEREÇO</t>
  </si>
  <si>
    <t>CEP:</t>
  </si>
  <si>
    <t>ENDEREÇO:</t>
  </si>
  <si>
    <t>NUMERO:</t>
  </si>
  <si>
    <t>COMPL:</t>
  </si>
  <si>
    <t>CIDADE:</t>
  </si>
  <si>
    <t>CAMPO LARGO</t>
  </si>
  <si>
    <t>BAIRRO:</t>
  </si>
  <si>
    <t>ESTADO:</t>
  </si>
  <si>
    <t>PR</t>
  </si>
  <si>
    <t>RENDA:</t>
  </si>
  <si>
    <t>04 - CONTATO</t>
  </si>
  <si>
    <r>
      <rPr>
        <b/>
        <sz val="12"/>
        <color theme="1"/>
        <rFont val="Aptos Narrow"/>
        <family val="2"/>
      </rPr>
      <t>CELULAR:</t>
    </r>
    <r>
      <rPr>
        <b/>
        <sz val="12"/>
        <color rgb="FFFF0000"/>
        <rFont val="Aptos Narrow"/>
        <family val="2"/>
      </rPr>
      <t>*</t>
    </r>
  </si>
  <si>
    <t>FIXO:</t>
  </si>
  <si>
    <r>
      <rPr>
        <b/>
        <sz val="12"/>
        <color theme="1"/>
        <rFont val="Aptos Narrow"/>
        <family val="2"/>
      </rPr>
      <t>E-MAIL:</t>
    </r>
    <r>
      <rPr>
        <b/>
        <sz val="12"/>
        <color rgb="FFFF0000"/>
        <rFont val="Aptos Narrow"/>
        <family val="2"/>
      </rPr>
      <t>*</t>
    </r>
  </si>
  <si>
    <t>TEL. REF 01:</t>
  </si>
  <si>
    <t>TEL. REF 02:</t>
  </si>
  <si>
    <t>05 - RESPONSÁVEL FINANCEIRO</t>
  </si>
  <si>
    <t>O MESMO?</t>
  </si>
  <si>
    <t>SIM</t>
  </si>
  <si>
    <t>NOME RESP.:</t>
  </si>
  <si>
    <t>DANIELA SILVA VALÉRIO LOPES</t>
  </si>
  <si>
    <t>TELEFONE:</t>
  </si>
  <si>
    <t>RUA JORGE DEMETRIO PAULISTA</t>
  </si>
  <si>
    <t>LTM SÃO JERONIMO</t>
  </si>
  <si>
    <t>06 - PLANO DE PAGAMENTO</t>
  </si>
  <si>
    <t>FORMA PAGAMENTO:</t>
  </si>
  <si>
    <t>BOLETO</t>
  </si>
  <si>
    <t>VALOR TOTAL SEM DESCONTO</t>
  </si>
  <si>
    <t>07 - OUTROS DADOS</t>
  </si>
  <si>
    <t>VENCIMENTO:</t>
  </si>
  <si>
    <t>VALOR PARCELA SEM DESCONTO:</t>
  </si>
  <si>
    <t xml:space="preserve">COMO SOUBE: </t>
  </si>
  <si>
    <t>GOOGLE</t>
  </si>
  <si>
    <t>MATRICULA/PARCELA:</t>
  </si>
  <si>
    <t>MATRICULA</t>
  </si>
  <si>
    <t>DESCONTO:</t>
  </si>
  <si>
    <t>VENDEDOR(A):</t>
  </si>
  <si>
    <t>VALOR MAT/ENTRADA:</t>
  </si>
  <si>
    <t>VALOR TOTAL COM DESCONTO</t>
  </si>
  <si>
    <t>DATA :</t>
  </si>
  <si>
    <t>N° DE PARCELAS</t>
  </si>
  <si>
    <t xml:space="preserve">VALOR PARCELA COM DESCONTO: </t>
  </si>
  <si>
    <t xml:space="preserve">08 - OBS. </t>
  </si>
  <si>
    <t>MATERIAL DIDÁTICO</t>
  </si>
  <si>
    <t>MATERIAL DIDÁTICO COM DESCONTO</t>
  </si>
  <si>
    <t>DOCUMENTOS NECESSÁRIOS: RG, CPF E COMPROVANTE DE RESIDÊNCIA DO ALUNO E DO RESPONSÁVEL FINANCEIRO.</t>
  </si>
  <si>
    <t>DESCONTO</t>
  </si>
  <si>
    <t xml:space="preserve">CURSOS </t>
  </si>
  <si>
    <t>COLABORADORES</t>
  </si>
  <si>
    <t>CABELEIREIRO PROFISSIONAL</t>
  </si>
  <si>
    <t>INAUGURAL</t>
  </si>
  <si>
    <t>APH</t>
  </si>
  <si>
    <t>MANICURE E PEDICURE + ALONGAMENTO DE UNHAS</t>
  </si>
  <si>
    <t>1ª DISCIPLINA</t>
  </si>
  <si>
    <t>AUTO CAD BASIC.</t>
  </si>
  <si>
    <t>MASSAGEM PROFISSIONAL</t>
  </si>
  <si>
    <t>2ª DISCIPLINA</t>
  </si>
  <si>
    <t>AUTO CAD MEC.</t>
  </si>
  <si>
    <t>BARBEIRO PROFISSIONAL</t>
  </si>
  <si>
    <t>3ª DISCIPLINA</t>
  </si>
  <si>
    <t>BALC. FARMÁCIA</t>
  </si>
  <si>
    <t>MAKE + DESIGN DE SOBRANCELHAS + EXTENSÃO DE CÍLIOS</t>
  </si>
  <si>
    <t>4ª DISCIPLINA</t>
  </si>
  <si>
    <t>CANVA</t>
  </si>
  <si>
    <t>AUXILIAR DE VETERINÁRIO + PET SHOP</t>
  </si>
  <si>
    <t>5ª DISCIPLINA</t>
  </si>
  <si>
    <t>CUIDADOR DE IDOSOS</t>
  </si>
  <si>
    <t>AUXILIAR DE LABORATÓRIO E ANÁLISES CLÍNICAS</t>
  </si>
  <si>
    <t>6ª DISCIPLINA</t>
  </si>
  <si>
    <t>DESV. GAMES</t>
  </si>
  <si>
    <t>CHEF PROFISSIONAL + CHEF INTERNACIONAL</t>
  </si>
  <si>
    <t>7ª DISCIPLINA</t>
  </si>
  <si>
    <t>DSG. GRAFICO</t>
  </si>
  <si>
    <t>EMPREENDEDORISMO</t>
  </si>
  <si>
    <t>CORTE E COSTURA</t>
  </si>
  <si>
    <t>EMPREGABILIDADE</t>
  </si>
  <si>
    <t>TÉCNICAS ADMINISTRATIVAS + GESTÃO DE PESSOAS/LIDERANÇA</t>
  </si>
  <si>
    <t>EXC. AVANÇ.</t>
  </si>
  <si>
    <t>ALONGAMENTO DE UNHAS</t>
  </si>
  <si>
    <t>EXC. BÁSICO</t>
  </si>
  <si>
    <t>FLEBOTOMIA</t>
  </si>
  <si>
    <t>INF. ADULTO</t>
  </si>
  <si>
    <t>INF. KIDS</t>
  </si>
  <si>
    <t>LOGÍSTICA</t>
  </si>
  <si>
    <t>MAT. FINANCEIRA</t>
  </si>
  <si>
    <t>OP. CAIXA</t>
  </si>
  <si>
    <t>OP. COMPU.</t>
  </si>
  <si>
    <t>ORATÓRIA</t>
  </si>
  <si>
    <t>PACOTE OFFICE</t>
  </si>
  <si>
    <t>POWER BI</t>
  </si>
  <si>
    <t>PROGRAMADOR</t>
  </si>
  <si>
    <t>RH</t>
  </si>
  <si>
    <t>ROT. ADM</t>
  </si>
  <si>
    <t>TELEMARKETING</t>
  </si>
  <si>
    <t>VENDAS</t>
  </si>
  <si>
    <t>WEB DESIGNER</t>
  </si>
  <si>
    <t>YOUTUBE</t>
  </si>
  <si>
    <t>AUTO CAD 2D 3D</t>
  </si>
  <si>
    <t>TÉCNICO EM ENFERMAGEM</t>
  </si>
  <si>
    <t>FIXO</t>
  </si>
  <si>
    <t>PROGRESSIVO</t>
  </si>
  <si>
    <t>MANHÃ</t>
  </si>
  <si>
    <t>TARDE</t>
  </si>
  <si>
    <t>TÉCNICO EM ADMINISTRAÇÃO</t>
  </si>
  <si>
    <t>TÉCNICO EM RADIOLOGIA</t>
  </si>
  <si>
    <t>TÉCNICO EM INFORMÁTICA</t>
  </si>
  <si>
    <t>SABÁDO</t>
  </si>
  <si>
    <t>3 X DE R$99,00</t>
  </si>
  <si>
    <t>3 X DE R$50,00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</si>
</sst>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\-00"/>
    <numFmt numFmtId="165" formatCode="_-&quot;R$&quot;\ * #,##0.00_-;\-&quot;R$&quot;\ * #,##0.00_-;_-&quot;R$&quot;\ * &quot;-&quot;??_-;_-@"/>
    <numFmt numFmtId="166" formatCode="[$R$ -416]#,##0.00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1"/>
      <color rgb="FF467886"/>
      <name val="Arial"/>
      <family val="2"/>
    </font>
    <font>
      <sz val="12"/>
      <color theme="1"/>
      <name val="Aptos Narrow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rgb="FF002060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2"/>
      <color rgb="FFFF0000"/>
      <name val="Aptos Narrow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FCFFDD"/>
        <bgColor rgb="FFFCFFD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275317"/>
      </left>
      <right/>
      <top style="thin">
        <color rgb="FF275317"/>
      </top>
      <bottom/>
      <diagonal/>
    </border>
    <border>
      <left/>
      <right/>
      <top style="thin">
        <color rgb="FF275317"/>
      </top>
      <bottom/>
      <diagonal/>
    </border>
    <border>
      <left/>
      <right style="thin">
        <color rgb="FF275317"/>
      </right>
      <top style="thin">
        <color rgb="FF275317"/>
      </top>
      <bottom/>
      <diagonal/>
    </border>
    <border>
      <left style="thin">
        <color rgb="FF275317"/>
      </left>
      <right/>
      <top/>
      <bottom/>
      <diagonal/>
    </border>
    <border>
      <left/>
      <right style="thin">
        <color rgb="FF275317"/>
      </right>
      <top/>
      <bottom/>
      <diagonal/>
    </border>
    <border>
      <left style="thin">
        <color rgb="FF275317"/>
      </left>
      <right/>
      <top/>
      <bottom style="thin">
        <color rgb="FF275317"/>
      </bottom>
      <diagonal/>
    </border>
    <border>
      <left/>
      <right/>
      <top/>
      <bottom style="thin">
        <color rgb="FF275317"/>
      </bottom>
      <diagonal/>
    </border>
    <border>
      <left/>
      <right style="thin">
        <color rgb="FF275317"/>
      </right>
      <top/>
      <bottom style="thin">
        <color rgb="FF27531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7">
    <xf numFmtId="0" fontId="0" fillId="0" borderId="0" xfId="0"/>
    <xf numFmtId="0" fontId="6" fillId="3" borderId="12" xfId="0" applyFont="1" applyFill="1" applyBorder="1" applyAlignment="1">
      <alignment horizontal="right"/>
    </xf>
    <xf numFmtId="0" fontId="7" fillId="4" borderId="12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/>
    </xf>
    <xf numFmtId="164" fontId="7" fillId="4" borderId="12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1" fontId="7" fillId="4" borderId="12" xfId="0" applyNumberFormat="1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1" fontId="7" fillId="4" borderId="12" xfId="0" applyNumberFormat="1" applyFont="1" applyFill="1" applyBorder="1" applyAlignment="1">
      <alignment horizontal="left"/>
    </xf>
    <xf numFmtId="0" fontId="6" fillId="3" borderId="12" xfId="0" applyFont="1" applyFill="1" applyBorder="1" applyAlignment="1">
      <alignment horizontal="right" vertical="center"/>
    </xf>
    <xf numFmtId="0" fontId="11" fillId="5" borderId="12" xfId="0" applyFont="1" applyFill="1" applyBorder="1" applyAlignment="1">
      <alignment horizontal="left" vertical="center"/>
    </xf>
    <xf numFmtId="49" fontId="7" fillId="4" borderId="12" xfId="0" applyNumberFormat="1" applyFont="1" applyFill="1" applyBorder="1" applyAlignment="1">
      <alignment horizontal="left"/>
    </xf>
    <xf numFmtId="0" fontId="11" fillId="4" borderId="12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right"/>
    </xf>
    <xf numFmtId="0" fontId="7" fillId="4" borderId="12" xfId="0" applyFont="1" applyFill="1" applyBorder="1" applyAlignment="1">
      <alignment horizontal="right"/>
    </xf>
    <xf numFmtId="0" fontId="11" fillId="4" borderId="12" xfId="0" applyFont="1" applyFill="1" applyBorder="1" applyAlignment="1">
      <alignment horizontal="right"/>
    </xf>
    <xf numFmtId="0" fontId="7" fillId="5" borderId="12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right"/>
    </xf>
    <xf numFmtId="0" fontId="8" fillId="3" borderId="0" xfId="0" applyFont="1" applyFill="1"/>
    <xf numFmtId="0" fontId="8" fillId="3" borderId="9" xfId="0" applyFont="1" applyFill="1" applyBorder="1" applyAlignment="1">
      <alignment horizontal="center" vertical="center"/>
    </xf>
    <xf numFmtId="166" fontId="12" fillId="5" borderId="12" xfId="0" applyNumberFormat="1" applyFont="1" applyFill="1" applyBorder="1" applyAlignment="1">
      <alignment horizontal="center" vertical="center"/>
    </xf>
    <xf numFmtId="14" fontId="7" fillId="4" borderId="12" xfId="0" applyNumberFormat="1" applyFont="1" applyFill="1" applyBorder="1"/>
    <xf numFmtId="165" fontId="7" fillId="4" borderId="12" xfId="0" applyNumberFormat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right" vertical="center"/>
    </xf>
    <xf numFmtId="9" fontId="7" fillId="4" borderId="12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165" fontId="7" fillId="5" borderId="12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5" fillId="6" borderId="0" xfId="0" applyFont="1" applyFill="1"/>
    <xf numFmtId="0" fontId="8" fillId="6" borderId="0" xfId="0" applyFont="1" applyFill="1" applyAlignment="1">
      <alignment horizontal="center" vertical="center"/>
    </xf>
    <xf numFmtId="0" fontId="15" fillId="0" borderId="0" xfId="0" applyFont="1"/>
    <xf numFmtId="9" fontId="1" fillId="0" borderId="0" xfId="0" applyNumberFormat="1" applyFont="1"/>
    <xf numFmtId="0" fontId="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5" fontId="1" fillId="0" borderId="0" xfId="0" applyNumberFormat="1" applyFont="1"/>
    <xf numFmtId="14" fontId="7" fillId="4" borderId="12" xfId="0" applyNumberFormat="1" applyFont="1" applyFill="1" applyBorder="1" applyAlignment="1">
      <alignment horizontal="left"/>
    </xf>
    <xf numFmtId="14" fontId="12" fillId="5" borderId="9" xfId="0" applyNumberFormat="1" applyFont="1" applyFill="1" applyBorder="1" applyAlignment="1">
      <alignment horizontal="center"/>
    </xf>
    <xf numFmtId="14" fontId="2" fillId="0" borderId="10" xfId="0" applyNumberFormat="1" applyFont="1" applyBorder="1"/>
    <xf numFmtId="14" fontId="2" fillId="0" borderId="11" xfId="0" applyNumberFormat="1" applyFont="1" applyBorder="1"/>
    <xf numFmtId="0" fontId="5" fillId="2" borderId="14" xfId="0" applyFont="1" applyFill="1" applyBorder="1" applyAlignment="1">
      <alignment horizontal="left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13" fillId="5" borderId="14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7" fillId="4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left"/>
    </xf>
    <xf numFmtId="164" fontId="7" fillId="4" borderId="9" xfId="0" applyNumberFormat="1" applyFont="1" applyFill="1" applyBorder="1" applyAlignment="1">
      <alignment horizontal="center"/>
    </xf>
    <xf numFmtId="0" fontId="9" fillId="2" borderId="9" xfId="0" applyFont="1" applyFill="1" applyBorder="1" applyAlignment="1">
      <alignment horizontal="left" vertical="center"/>
    </xf>
    <xf numFmtId="49" fontId="18" fillId="4" borderId="9" xfId="1" applyNumberForma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left"/>
    </xf>
    <xf numFmtId="165" fontId="7" fillId="4" borderId="9" xfId="0" applyNumberFormat="1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" fillId="0" borderId="17" xfId="0" applyFont="1" applyBorder="1"/>
    <xf numFmtId="0" fontId="1" fillId="0" borderId="1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4" fontId="7" fillId="4" borderId="13" xfId="0" applyNumberFormat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275317"/>
      </font>
      <fill>
        <patternFill patternType="solid">
          <fgColor rgb="FF275317"/>
          <bgColor rgb="FF275317"/>
        </patternFill>
      </fill>
      <border>
        <left style="thin">
          <color rgb="FF275317"/>
        </left>
        <right style="thin">
          <color rgb="FF275317"/>
        </right>
        <top style="thin">
          <color rgb="FF275317"/>
        </top>
        <bottom style="thin">
          <color rgb="FF27531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38525" cy="904875"/>
    <xdr:pic>
      <xdr:nvPicPr>
        <xdr:cNvPr id="2" name="image2.jp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0</xdr:row>
      <xdr:rowOff>0</xdr:rowOff>
    </xdr:from>
    <xdr:ext cx="885825" cy="90487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zoomScale="85" zoomScaleNormal="85" workbookViewId="0">
      <selection activeCell="G31" sqref="G31:J31"/>
    </sheetView>
  </sheetViews>
  <sheetFormatPr defaultColWidth="12.5703125" defaultRowHeight="15" customHeight="1" x14ac:dyDescent="0.25"/>
  <cols>
    <col min="1" max="1" width="16.85546875" customWidth="1"/>
    <col min="2" max="2" width="30" customWidth="1"/>
    <col min="3" max="3" width="18.42578125" customWidth="1"/>
    <col min="4" max="4" width="30.7109375" customWidth="1"/>
    <col min="5" max="5" width="22.5703125" customWidth="1"/>
    <col min="6" max="6" width="16.42578125" customWidth="1"/>
    <col min="7" max="7" width="12.42578125" customWidth="1"/>
    <col min="8" max="8" width="15" customWidth="1"/>
    <col min="9" max="9" width="17.7109375" customWidth="1"/>
    <col min="10" max="10" width="14.7109375" customWidth="1"/>
    <col min="11" max="26" width="8.5703125" customWidth="1"/>
  </cols>
  <sheetData>
    <row r="1" spans="1:10" x14ac:dyDescent="0.25">
      <c r="A1" s="74"/>
      <c r="B1" s="75"/>
      <c r="C1" s="76"/>
      <c r="D1" s="83" t="s">
        <v>0</v>
      </c>
      <c r="E1" s="75"/>
      <c r="F1" s="75"/>
      <c r="G1" s="75"/>
      <c r="H1" s="75"/>
      <c r="I1" s="75"/>
      <c r="J1" s="76"/>
    </row>
    <row r="2" spans="1:10" x14ac:dyDescent="0.25">
      <c r="A2" s="77"/>
      <c r="B2" s="78"/>
      <c r="C2" s="79"/>
      <c r="D2" s="77"/>
      <c r="E2" s="78"/>
      <c r="F2" s="78"/>
      <c r="G2" s="78"/>
      <c r="H2" s="78"/>
      <c r="I2" s="78"/>
      <c r="J2" s="79"/>
    </row>
    <row r="3" spans="1:10" x14ac:dyDescent="0.25">
      <c r="A3" s="77"/>
      <c r="B3" s="78"/>
      <c r="C3" s="79"/>
      <c r="D3" s="80"/>
      <c r="E3" s="81"/>
      <c r="F3" s="81"/>
      <c r="G3" s="81"/>
      <c r="H3" s="81"/>
      <c r="I3" s="81"/>
      <c r="J3" s="82"/>
    </row>
    <row r="4" spans="1:10" x14ac:dyDescent="0.25">
      <c r="A4" s="77"/>
      <c r="B4" s="78"/>
      <c r="C4" s="79"/>
      <c r="D4" s="84" t="s">
        <v>1</v>
      </c>
      <c r="E4" s="75"/>
      <c r="F4" s="75"/>
      <c r="G4" s="75"/>
      <c r="H4" s="75"/>
      <c r="I4" s="75"/>
      <c r="J4" s="76"/>
    </row>
    <row r="5" spans="1:10" x14ac:dyDescent="0.25">
      <c r="A5" s="80"/>
      <c r="B5" s="81"/>
      <c r="C5" s="82"/>
      <c r="D5" s="80"/>
      <c r="E5" s="81"/>
      <c r="F5" s="81"/>
      <c r="G5" s="81"/>
      <c r="H5" s="81"/>
      <c r="I5" s="81"/>
      <c r="J5" s="82"/>
    </row>
    <row r="6" spans="1:10" ht="15.75" x14ac:dyDescent="0.25">
      <c r="A6" s="58" t="s">
        <v>2</v>
      </c>
      <c r="B6" s="55"/>
      <c r="C6" s="55"/>
      <c r="D6" s="55"/>
      <c r="E6" s="55"/>
      <c r="F6" s="55"/>
      <c r="G6" s="55"/>
      <c r="H6" s="55"/>
      <c r="I6" s="55"/>
      <c r="J6" s="56"/>
    </row>
    <row r="7" spans="1:10" ht="15.75" x14ac:dyDescent="0.25">
      <c r="A7" s="1" t="s">
        <v>3</v>
      </c>
      <c r="B7" s="2"/>
      <c r="C7" s="72" t="s">
        <v>5</v>
      </c>
      <c r="D7" s="85"/>
      <c r="E7" s="72" t="s">
        <v>6</v>
      </c>
      <c r="F7" s="71"/>
      <c r="G7" s="48"/>
      <c r="H7" s="49"/>
      <c r="I7" s="72" t="s">
        <v>7</v>
      </c>
      <c r="J7" s="86"/>
    </row>
    <row r="8" spans="1:10" ht="15.75" x14ac:dyDescent="0.25">
      <c r="A8" s="1" t="s">
        <v>8</v>
      </c>
      <c r="B8" s="4"/>
      <c r="C8" s="73"/>
      <c r="D8" s="73"/>
      <c r="E8" s="73"/>
      <c r="F8" s="50"/>
      <c r="G8" s="51"/>
      <c r="H8" s="52"/>
      <c r="I8" s="73"/>
      <c r="J8" s="73"/>
    </row>
    <row r="9" spans="1:10" ht="15.75" x14ac:dyDescent="0.25">
      <c r="A9" s="58" t="s">
        <v>10</v>
      </c>
      <c r="B9" s="55"/>
      <c r="C9" s="55"/>
      <c r="D9" s="55"/>
      <c r="E9" s="55"/>
      <c r="F9" s="55"/>
      <c r="G9" s="55"/>
      <c r="H9" s="55"/>
      <c r="I9" s="55"/>
      <c r="J9" s="56"/>
    </row>
    <row r="10" spans="1:10" ht="15.75" x14ac:dyDescent="0.25">
      <c r="A10" s="1" t="s">
        <v>11</v>
      </c>
      <c r="B10" s="65"/>
      <c r="C10" s="55"/>
      <c r="D10" s="55"/>
      <c r="E10" s="55"/>
      <c r="F10" s="56"/>
      <c r="G10" s="1" t="s">
        <v>12</v>
      </c>
      <c r="H10" s="43"/>
      <c r="I10" s="64" t="str">
        <f ca="1">IF((TODAY()-H10)/365.25&lt;18,"MENOR DE IDADE","MAIOR DE IDADE")</f>
        <v>MAIOR DE IDADE</v>
      </c>
      <c r="J10" s="56"/>
    </row>
    <row r="11" spans="1:10" ht="15.75" x14ac:dyDescent="0.25">
      <c r="A11" s="1" t="s">
        <v>13</v>
      </c>
      <c r="B11" s="5"/>
      <c r="C11" s="1" t="s">
        <v>14</v>
      </c>
      <c r="D11" s="5"/>
      <c r="E11" s="1" t="s">
        <v>15</v>
      </c>
      <c r="F11" s="6"/>
      <c r="G11" s="1" t="s">
        <v>16</v>
      </c>
      <c r="H11" s="6"/>
      <c r="I11" s="1" t="s">
        <v>17</v>
      </c>
      <c r="J11" s="2"/>
    </row>
    <row r="12" spans="1:10" ht="15.75" x14ac:dyDescent="0.25">
      <c r="A12" s="1" t="s">
        <v>18</v>
      </c>
      <c r="B12" s="2"/>
      <c r="C12" s="1" t="s">
        <v>19</v>
      </c>
      <c r="D12" s="2"/>
      <c r="E12" s="1" t="s">
        <v>20</v>
      </c>
      <c r="F12" s="65"/>
      <c r="G12" s="56"/>
      <c r="H12" s="1" t="s">
        <v>21</v>
      </c>
      <c r="I12" s="65"/>
      <c r="J12" s="56"/>
    </row>
    <row r="13" spans="1:10" ht="15.75" x14ac:dyDescent="0.25">
      <c r="A13" s="1" t="s">
        <v>22</v>
      </c>
      <c r="B13" s="65"/>
      <c r="C13" s="55"/>
      <c r="D13" s="55"/>
      <c r="E13" s="55"/>
      <c r="F13" s="55"/>
      <c r="G13" s="55"/>
      <c r="H13" s="55"/>
      <c r="I13" s="55"/>
      <c r="J13" s="56"/>
    </row>
    <row r="14" spans="1:10" ht="15.75" x14ac:dyDescent="0.25">
      <c r="A14" s="1" t="s">
        <v>23</v>
      </c>
      <c r="B14" s="65"/>
      <c r="C14" s="55"/>
      <c r="D14" s="55"/>
      <c r="E14" s="55"/>
      <c r="F14" s="55"/>
      <c r="G14" s="55"/>
      <c r="H14" s="55"/>
      <c r="I14" s="55"/>
      <c r="J14" s="56"/>
    </row>
    <row r="15" spans="1:10" ht="15.75" x14ac:dyDescent="0.25">
      <c r="A15" s="67" t="s">
        <v>24</v>
      </c>
      <c r="B15" s="55"/>
      <c r="C15" s="55"/>
      <c r="D15" s="55"/>
      <c r="E15" s="55"/>
      <c r="F15" s="55"/>
      <c r="G15" s="55"/>
      <c r="H15" s="55"/>
      <c r="I15" s="55"/>
      <c r="J15" s="56"/>
    </row>
    <row r="16" spans="1:10" ht="15.75" x14ac:dyDescent="0.25">
      <c r="A16" s="1" t="s">
        <v>25</v>
      </c>
      <c r="B16" s="7"/>
      <c r="C16" s="1" t="s">
        <v>26</v>
      </c>
      <c r="D16" s="63"/>
      <c r="E16" s="55"/>
      <c r="F16" s="56"/>
      <c r="G16" s="1" t="s">
        <v>27</v>
      </c>
      <c r="H16" s="4"/>
      <c r="I16" s="1" t="s">
        <v>28</v>
      </c>
      <c r="J16" s="8"/>
    </row>
    <row r="17" spans="1:10" ht="15.75" x14ac:dyDescent="0.25">
      <c r="A17" s="1" t="s">
        <v>29</v>
      </c>
      <c r="B17" s="9"/>
      <c r="C17" s="1" t="s">
        <v>31</v>
      </c>
      <c r="D17" s="63"/>
      <c r="E17" s="56"/>
      <c r="F17" s="1" t="s">
        <v>32</v>
      </c>
      <c r="G17" s="10"/>
      <c r="H17" s="1" t="s">
        <v>34</v>
      </c>
      <c r="I17" s="70"/>
      <c r="J17" s="56"/>
    </row>
    <row r="18" spans="1:10" ht="15.75" x14ac:dyDescent="0.25">
      <c r="A18" s="67" t="s">
        <v>35</v>
      </c>
      <c r="B18" s="55"/>
      <c r="C18" s="55"/>
      <c r="D18" s="55"/>
      <c r="E18" s="55"/>
      <c r="F18" s="55"/>
      <c r="G18" s="55"/>
      <c r="H18" s="55"/>
      <c r="I18" s="55"/>
      <c r="J18" s="56"/>
    </row>
    <row r="19" spans="1:10" ht="15.75" x14ac:dyDescent="0.25">
      <c r="A19" s="1" t="s">
        <v>36</v>
      </c>
      <c r="B19" s="11"/>
      <c r="C19" s="12" t="s">
        <v>37</v>
      </c>
      <c r="D19" s="13"/>
      <c r="E19" s="12" t="s">
        <v>38</v>
      </c>
      <c r="F19" s="68"/>
      <c r="G19" s="55"/>
      <c r="H19" s="55"/>
      <c r="I19" s="55"/>
      <c r="J19" s="56"/>
    </row>
    <row r="20" spans="1:10" ht="15.75" x14ac:dyDescent="0.25">
      <c r="A20" s="1" t="s">
        <v>39</v>
      </c>
      <c r="B20" s="14"/>
      <c r="C20" s="1" t="s">
        <v>11</v>
      </c>
      <c r="D20" s="65"/>
      <c r="E20" s="55"/>
      <c r="F20" s="55"/>
      <c r="G20" s="55"/>
      <c r="H20" s="55"/>
      <c r="I20" s="55"/>
      <c r="J20" s="56"/>
    </row>
    <row r="21" spans="1:10" ht="15.75" customHeight="1" x14ac:dyDescent="0.25">
      <c r="A21" s="1" t="s">
        <v>40</v>
      </c>
      <c r="B21" s="15"/>
      <c r="C21" s="1" t="s">
        <v>11</v>
      </c>
      <c r="D21" s="69"/>
      <c r="E21" s="55"/>
      <c r="F21" s="55"/>
      <c r="G21" s="55"/>
      <c r="H21" s="55"/>
      <c r="I21" s="55"/>
      <c r="J21" s="56"/>
    </row>
    <row r="22" spans="1:10" ht="15.75" customHeight="1" x14ac:dyDescent="0.25">
      <c r="A22" s="58" t="s">
        <v>41</v>
      </c>
      <c r="B22" s="55"/>
      <c r="C22" s="55"/>
      <c r="D22" s="55"/>
      <c r="E22" s="55"/>
      <c r="F22" s="55"/>
      <c r="G22" s="55"/>
      <c r="H22" s="55"/>
      <c r="I22" s="55"/>
      <c r="J22" s="56"/>
    </row>
    <row r="23" spans="1:10" ht="15.75" customHeight="1" x14ac:dyDescent="0.25">
      <c r="A23" s="1" t="s">
        <v>42</v>
      </c>
      <c r="B23" s="16" t="s">
        <v>43</v>
      </c>
      <c r="C23" s="64"/>
      <c r="D23" s="55"/>
      <c r="E23" s="55"/>
      <c r="F23" s="55"/>
      <c r="G23" s="55"/>
      <c r="H23" s="55"/>
      <c r="I23" s="55"/>
      <c r="J23" s="56"/>
    </row>
    <row r="24" spans="1:10" ht="15.75" customHeight="1" x14ac:dyDescent="0.25">
      <c r="A24" s="1" t="s">
        <v>44</v>
      </c>
      <c r="B24" s="65" t="s">
        <v>45</v>
      </c>
      <c r="C24" s="55"/>
      <c r="D24" s="56"/>
      <c r="E24" s="1" t="s">
        <v>13</v>
      </c>
      <c r="F24" s="66">
        <v>30086381806</v>
      </c>
      <c r="G24" s="56"/>
      <c r="H24" s="1" t="s">
        <v>46</v>
      </c>
      <c r="I24" s="57">
        <v>41998214921</v>
      </c>
      <c r="J24" s="56"/>
    </row>
    <row r="25" spans="1:10" ht="18" customHeight="1" x14ac:dyDescent="0.25">
      <c r="A25" s="1" t="s">
        <v>25</v>
      </c>
      <c r="B25" s="7">
        <v>83606176</v>
      </c>
      <c r="C25" s="17" t="s">
        <v>26</v>
      </c>
      <c r="D25" s="57" t="s">
        <v>47</v>
      </c>
      <c r="E25" s="55"/>
      <c r="F25" s="56"/>
      <c r="G25" s="1" t="s">
        <v>27</v>
      </c>
      <c r="H25" s="18">
        <v>328</v>
      </c>
      <c r="I25" s="1" t="s">
        <v>28</v>
      </c>
      <c r="J25" s="19"/>
    </row>
    <row r="26" spans="1:10" ht="15.75" customHeight="1" x14ac:dyDescent="0.25">
      <c r="A26" s="1" t="s">
        <v>29</v>
      </c>
      <c r="B26" s="20" t="s">
        <v>30</v>
      </c>
      <c r="C26" s="1" t="s">
        <v>31</v>
      </c>
      <c r="D26" s="63" t="s">
        <v>48</v>
      </c>
      <c r="E26" s="56"/>
      <c r="F26" s="1" t="s">
        <v>32</v>
      </c>
      <c r="G26" s="21" t="s">
        <v>33</v>
      </c>
      <c r="H26" s="1" t="s">
        <v>34</v>
      </c>
      <c r="I26" s="57">
        <v>3000</v>
      </c>
      <c r="J26" s="56"/>
    </row>
    <row r="27" spans="1:10" ht="15.75" customHeight="1" x14ac:dyDescent="0.25">
      <c r="A27" s="58" t="s">
        <v>49</v>
      </c>
      <c r="B27" s="55"/>
      <c r="C27" s="55"/>
      <c r="D27" s="55"/>
      <c r="E27" s="55"/>
      <c r="F27" s="55"/>
      <c r="G27" s="55"/>
      <c r="H27" s="55"/>
      <c r="I27" s="55"/>
      <c r="J27" s="56"/>
    </row>
    <row r="28" spans="1:10" ht="15.75" customHeight="1" x14ac:dyDescent="0.25">
      <c r="A28" s="22" t="s">
        <v>50</v>
      </c>
      <c r="B28" s="3" t="s">
        <v>51</v>
      </c>
      <c r="C28" s="59" t="s">
        <v>52</v>
      </c>
      <c r="D28" s="56"/>
      <c r="E28" s="24">
        <f>B32*E29</f>
        <v>0</v>
      </c>
      <c r="F28" s="58" t="s">
        <v>53</v>
      </c>
      <c r="G28" s="55"/>
      <c r="H28" s="55"/>
      <c r="I28" s="55"/>
      <c r="J28" s="56"/>
    </row>
    <row r="29" spans="1:10" ht="15.75" customHeight="1" x14ac:dyDescent="0.25">
      <c r="A29" s="1" t="s">
        <v>54</v>
      </c>
      <c r="B29" s="25">
        <v>45698</v>
      </c>
      <c r="C29" s="60" t="s">
        <v>55</v>
      </c>
      <c r="D29" s="56"/>
      <c r="E29" s="26">
        <f>E32/0.7</f>
        <v>0</v>
      </c>
      <c r="F29" s="27" t="s">
        <v>56</v>
      </c>
      <c r="G29" s="61" t="s">
        <v>57</v>
      </c>
      <c r="H29" s="55"/>
      <c r="I29" s="55"/>
      <c r="J29" s="56"/>
    </row>
    <row r="30" spans="1:10" ht="15.75" customHeight="1" x14ac:dyDescent="0.25">
      <c r="A30" s="28" t="s">
        <v>58</v>
      </c>
      <c r="B30" s="3" t="s">
        <v>59</v>
      </c>
      <c r="C30" s="60" t="s">
        <v>60</v>
      </c>
      <c r="D30" s="56"/>
      <c r="E30" s="29">
        <v>0.3</v>
      </c>
      <c r="F30" s="27" t="s">
        <v>61</v>
      </c>
      <c r="G30" s="62"/>
      <c r="H30" s="55"/>
      <c r="I30" s="55"/>
      <c r="J30" s="56"/>
    </row>
    <row r="31" spans="1:10" ht="15.75" customHeight="1" x14ac:dyDescent="0.25">
      <c r="A31" s="30" t="s">
        <v>62</v>
      </c>
      <c r="B31" s="26">
        <v>129</v>
      </c>
      <c r="C31" s="59" t="s">
        <v>63</v>
      </c>
      <c r="D31" s="56"/>
      <c r="E31" s="31">
        <f>E32*B32</f>
        <v>0</v>
      </c>
      <c r="F31" s="32" t="s">
        <v>64</v>
      </c>
      <c r="G31" s="44"/>
      <c r="H31" s="45"/>
      <c r="I31" s="45"/>
      <c r="J31" s="46"/>
    </row>
    <row r="32" spans="1:10" ht="15.75" customHeight="1" x14ac:dyDescent="0.25">
      <c r="A32" s="23" t="s">
        <v>65</v>
      </c>
      <c r="B32" s="33"/>
      <c r="C32" s="59" t="s">
        <v>66</v>
      </c>
      <c r="D32" s="56"/>
      <c r="E32" s="31"/>
      <c r="F32" s="47" t="s">
        <v>67</v>
      </c>
      <c r="G32" s="48"/>
      <c r="H32" s="48"/>
      <c r="I32" s="48"/>
      <c r="J32" s="49"/>
    </row>
    <row r="33" spans="1:10" ht="15.75" customHeight="1" x14ac:dyDescent="0.25">
      <c r="A33" s="34" t="s">
        <v>68</v>
      </c>
      <c r="B33" s="35" t="s">
        <v>132</v>
      </c>
      <c r="C33" s="59" t="s">
        <v>69</v>
      </c>
      <c r="D33" s="56"/>
      <c r="E33" s="35" t="s">
        <v>133</v>
      </c>
      <c r="F33" s="50"/>
      <c r="G33" s="51"/>
      <c r="H33" s="51"/>
      <c r="I33" s="51"/>
      <c r="J33" s="52"/>
    </row>
    <row r="34" spans="1:10" ht="15.75" customHeight="1" x14ac:dyDescent="0.25">
      <c r="A34" s="53"/>
      <c r="B34" s="48"/>
      <c r="C34" s="48"/>
      <c r="D34" s="48"/>
      <c r="E34" s="48"/>
      <c r="F34" s="48"/>
      <c r="G34" s="48"/>
      <c r="H34" s="48"/>
      <c r="I34" s="48"/>
      <c r="J34" s="48"/>
    </row>
    <row r="35" spans="1:10" ht="15.75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</row>
    <row r="36" spans="1:10" ht="15.75" customHeight="1" x14ac:dyDescent="0.25">
      <c r="A36" s="54" t="s">
        <v>70</v>
      </c>
      <c r="B36" s="55"/>
      <c r="C36" s="55"/>
      <c r="D36" s="55"/>
      <c r="E36" s="55"/>
      <c r="F36" s="55"/>
      <c r="G36" s="55"/>
      <c r="H36" s="55"/>
      <c r="I36" s="55"/>
      <c r="J36" s="56"/>
    </row>
    <row r="37" spans="1:10" ht="15.75" customHeight="1" x14ac:dyDescent="0.25">
      <c r="D37" s="36"/>
      <c r="E37" s="36"/>
      <c r="F37" s="36"/>
      <c r="G37" s="36"/>
    </row>
    <row r="38" spans="1:10" ht="15.75" customHeight="1" x14ac:dyDescent="0.25">
      <c r="D38" s="36"/>
      <c r="E38" s="37"/>
      <c r="F38" s="37"/>
      <c r="G38" s="37"/>
    </row>
    <row r="39" spans="1:10" ht="15.75" customHeight="1" x14ac:dyDescent="0.25">
      <c r="D39" s="36"/>
      <c r="E39" s="37"/>
      <c r="F39" s="37"/>
      <c r="G39" s="37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47">
    <mergeCell ref="F7:H8"/>
    <mergeCell ref="I7:I8"/>
    <mergeCell ref="F12:G12"/>
    <mergeCell ref="I12:J12"/>
    <mergeCell ref="A1:C5"/>
    <mergeCell ref="D1:J3"/>
    <mergeCell ref="D4:J5"/>
    <mergeCell ref="A6:J6"/>
    <mergeCell ref="C7:C8"/>
    <mergeCell ref="D7:D8"/>
    <mergeCell ref="E7:E8"/>
    <mergeCell ref="J7:J8"/>
    <mergeCell ref="A9:J9"/>
    <mergeCell ref="B10:F10"/>
    <mergeCell ref="I10:J10"/>
    <mergeCell ref="B13:J13"/>
    <mergeCell ref="B14:J14"/>
    <mergeCell ref="A15:J15"/>
    <mergeCell ref="D16:F16"/>
    <mergeCell ref="D17:E17"/>
    <mergeCell ref="I17:J17"/>
    <mergeCell ref="A18:J18"/>
    <mergeCell ref="F19:J19"/>
    <mergeCell ref="D20:J20"/>
    <mergeCell ref="D21:J21"/>
    <mergeCell ref="A22:J22"/>
    <mergeCell ref="C23:J23"/>
    <mergeCell ref="B24:D24"/>
    <mergeCell ref="F24:G24"/>
    <mergeCell ref="I24:J24"/>
    <mergeCell ref="D25:F25"/>
    <mergeCell ref="G31:J31"/>
    <mergeCell ref="F32:J33"/>
    <mergeCell ref="A34:J35"/>
    <mergeCell ref="A36:J36"/>
    <mergeCell ref="I26:J26"/>
    <mergeCell ref="A27:J27"/>
    <mergeCell ref="C28:D28"/>
    <mergeCell ref="F28:J28"/>
    <mergeCell ref="C29:D29"/>
    <mergeCell ref="G29:J29"/>
    <mergeCell ref="G30:J30"/>
    <mergeCell ref="D26:E26"/>
    <mergeCell ref="C30:D30"/>
    <mergeCell ref="C31:D31"/>
    <mergeCell ref="C32:D32"/>
    <mergeCell ref="C33:D33"/>
  </mergeCells>
  <conditionalFormatting sqref="A29">
    <cfRule type="expression" dxfId="4" priority="2">
      <formula>#REF!="CARTÃO DE CRÉDITO"</formula>
    </cfRule>
  </conditionalFormatting>
  <conditionalFormatting sqref="A24:J26">
    <cfRule type="expression" dxfId="3" priority="1">
      <formula>$B$23="SIM"</formula>
    </cfRule>
  </conditionalFormatting>
  <conditionalFormatting sqref="B23">
    <cfRule type="notContainsBlanks" dxfId="2" priority="5">
      <formula>LEN(TRIM(B23))&gt;0</formula>
    </cfRule>
  </conditionalFormatting>
  <conditionalFormatting sqref="C28:E30 B29 B32 A32:A33 C33">
    <cfRule type="expression" dxfId="1" priority="4">
      <formula>$B$28="CRÉDITO"</formula>
    </cfRule>
  </conditionalFormatting>
  <conditionalFormatting sqref="I10:J10">
    <cfRule type="cellIs" dxfId="0" priority="3" operator="equal">
      <formula>"MENOR DE IDADE"</formula>
    </cfRule>
  </conditionalFormatting>
  <dataValidations count="8">
    <dataValidation type="list" allowBlank="1" showErrorMessage="1" sqref="F12" xr:uid="{00000000-0002-0000-0000-000001000000}">
      <formula1>"Ensino Fundamental Completo,Ensino Fundamental Incompleto,Ensino Médio Completo,Ensino Médio Cursando,Ensino Superior Completo,Ensino Superior Cursando,Mestrado/Pós-Graduação Completo,Mestrado/Pós-Graduação Cursando"</formula1>
    </dataValidation>
    <dataValidation type="list" allowBlank="1" showErrorMessage="1" sqref="B23" xr:uid="{00000000-0002-0000-0000-000003000000}">
      <formula1>"SIM,NÃO"</formula1>
    </dataValidation>
    <dataValidation type="list" allowBlank="1" showErrorMessage="1" sqref="B8" xr:uid="{00000000-0002-0000-0000-000004000000}">
      <formula1>"MANHÃ,TARDE,NOITE,SABÁDO"</formula1>
    </dataValidation>
    <dataValidation type="list" allowBlank="1" showErrorMessage="1" sqref="B30" xr:uid="{00000000-0002-0000-0000-000005000000}">
      <formula1>"MATRICULA,ENTRADA"</formula1>
    </dataValidation>
    <dataValidation type="list" allowBlank="1" showErrorMessage="1" sqref="J11" xr:uid="{00000000-0002-0000-0000-000006000000}">
      <formula1>"Solteiro(a),Casado(a),Viúvo(a),Divorciado(a),Separado(a),União Estável"</formula1>
    </dataValidation>
    <dataValidation type="list" allowBlank="1" showErrorMessage="1" sqref="G29" xr:uid="{00000000-0002-0000-0000-000007000000}">
      <formula1>"SITE GRAU,PANFLETOS,INDICAÇÃO,FACEBOOK,INSTAGRAM,GOOGLE,FACHADA,CAPTAÇÃO EXTERNA,OUTROS"</formula1>
    </dataValidation>
    <dataValidation type="list" allowBlank="1" showErrorMessage="1" sqref="H11" xr:uid="{00000000-0002-0000-0000-000008000000}">
      <formula1>"FEMININO,MASCULINO"</formula1>
    </dataValidation>
    <dataValidation type="list" allowBlank="1" showErrorMessage="1" sqref="B28" xr:uid="{00000000-0002-0000-0000-000009000000}">
      <formula1>"BOLETO,CRÉDITO"</formula1>
    </dataValidation>
  </dataValidations>
  <pageMargins left="0.511811024" right="0.511811024" top="0.78740157499999996" bottom="0.78740157499999996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'banco de dados'!$A$2:$A$5</xm:f>
          </x14:formula1>
          <xm:sqref>E30</xm:sqref>
        </x14:dataValidation>
        <x14:dataValidation type="list" allowBlank="1" showErrorMessage="1" xr:uid="{00000000-0002-0000-0000-000002000000}">
          <x14:formula1>
            <xm:f>'banco de dados'!$C$2:$C$13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2.5703125" defaultRowHeight="15" customHeight="1" x14ac:dyDescent="0.25"/>
  <cols>
    <col min="1" max="1" width="30" customWidth="1"/>
    <col min="2" max="2" width="8.140625" customWidth="1"/>
    <col min="3" max="3" width="27.28515625" customWidth="1"/>
    <col min="4" max="4" width="8.5703125" customWidth="1"/>
    <col min="5" max="5" width="10.5703125" customWidth="1"/>
    <col min="6" max="26" width="8.5703125" customWidth="1"/>
  </cols>
  <sheetData>
    <row r="1" spans="1:9" x14ac:dyDescent="0.25">
      <c r="A1" s="38" t="s">
        <v>71</v>
      </c>
      <c r="C1" s="38" t="s">
        <v>72</v>
      </c>
      <c r="F1" s="38" t="s">
        <v>73</v>
      </c>
      <c r="I1" s="38" t="s">
        <v>72</v>
      </c>
    </row>
    <row r="2" spans="1:9" x14ac:dyDescent="0.25">
      <c r="A2" s="39">
        <v>0.2</v>
      </c>
      <c r="C2" s="40" t="s">
        <v>74</v>
      </c>
      <c r="D2" s="38" t="s">
        <v>75</v>
      </c>
      <c r="I2" s="40" t="s">
        <v>76</v>
      </c>
    </row>
    <row r="3" spans="1:9" x14ac:dyDescent="0.25">
      <c r="A3" s="39">
        <v>0.25</v>
      </c>
      <c r="C3" s="40" t="s">
        <v>77</v>
      </c>
      <c r="D3" s="38" t="s">
        <v>78</v>
      </c>
      <c r="I3" s="40" t="s">
        <v>79</v>
      </c>
    </row>
    <row r="4" spans="1:9" x14ac:dyDescent="0.25">
      <c r="A4" s="39">
        <v>0.3</v>
      </c>
      <c r="C4" s="40" t="s">
        <v>80</v>
      </c>
      <c r="D4" s="38" t="s">
        <v>81</v>
      </c>
      <c r="I4" s="40" t="s">
        <v>82</v>
      </c>
    </row>
    <row r="5" spans="1:9" x14ac:dyDescent="0.25">
      <c r="A5" s="39">
        <v>0.35</v>
      </c>
      <c r="C5" s="40" t="s">
        <v>83</v>
      </c>
      <c r="D5" s="38" t="s">
        <v>84</v>
      </c>
      <c r="I5" s="40" t="s">
        <v>85</v>
      </c>
    </row>
    <row r="6" spans="1:9" x14ac:dyDescent="0.25">
      <c r="C6" s="40" t="s">
        <v>86</v>
      </c>
      <c r="D6" s="38" t="s">
        <v>87</v>
      </c>
      <c r="I6" s="40" t="s">
        <v>88</v>
      </c>
    </row>
    <row r="7" spans="1:9" x14ac:dyDescent="0.25">
      <c r="C7" s="40" t="s">
        <v>89</v>
      </c>
      <c r="D7" s="38" t="s">
        <v>90</v>
      </c>
      <c r="I7" s="40" t="s">
        <v>91</v>
      </c>
    </row>
    <row r="8" spans="1:9" x14ac:dyDescent="0.25">
      <c r="C8" s="40" t="s">
        <v>92</v>
      </c>
      <c r="D8" s="38" t="s">
        <v>93</v>
      </c>
      <c r="I8" s="40" t="s">
        <v>94</v>
      </c>
    </row>
    <row r="9" spans="1:9" x14ac:dyDescent="0.25">
      <c r="C9" s="40" t="s">
        <v>95</v>
      </c>
      <c r="D9" s="38" t="s">
        <v>96</v>
      </c>
      <c r="I9" s="40" t="s">
        <v>97</v>
      </c>
    </row>
    <row r="10" spans="1:9" x14ac:dyDescent="0.25">
      <c r="C10" s="40" t="s">
        <v>4</v>
      </c>
      <c r="I10" s="40" t="s">
        <v>98</v>
      </c>
    </row>
    <row r="11" spans="1:9" x14ac:dyDescent="0.25">
      <c r="C11" s="40" t="s">
        <v>99</v>
      </c>
      <c r="I11" s="40" t="s">
        <v>100</v>
      </c>
    </row>
    <row r="12" spans="1:9" x14ac:dyDescent="0.25">
      <c r="C12" s="40" t="s">
        <v>101</v>
      </c>
      <c r="I12" s="40" t="s">
        <v>102</v>
      </c>
    </row>
    <row r="13" spans="1:9" x14ac:dyDescent="0.25">
      <c r="C13" s="41" t="s">
        <v>103</v>
      </c>
      <c r="I13" s="40" t="s">
        <v>104</v>
      </c>
    </row>
    <row r="14" spans="1:9" x14ac:dyDescent="0.25">
      <c r="C14" s="40"/>
      <c r="I14" s="40" t="s">
        <v>105</v>
      </c>
    </row>
    <row r="15" spans="1:9" x14ac:dyDescent="0.25">
      <c r="C15" s="40"/>
      <c r="I15" s="40" t="s">
        <v>106</v>
      </c>
    </row>
    <row r="16" spans="1:9" x14ac:dyDescent="0.25">
      <c r="C16" s="40"/>
      <c r="I16" s="40" t="s">
        <v>107</v>
      </c>
    </row>
    <row r="17" spans="3:9" x14ac:dyDescent="0.25">
      <c r="C17" s="40"/>
      <c r="I17" s="40" t="s">
        <v>108</v>
      </c>
    </row>
    <row r="18" spans="3:9" x14ac:dyDescent="0.25">
      <c r="C18" s="40"/>
      <c r="I18" s="40" t="s">
        <v>109</v>
      </c>
    </row>
    <row r="19" spans="3:9" x14ac:dyDescent="0.25">
      <c r="C19" s="40"/>
      <c r="I19" s="40" t="s">
        <v>110</v>
      </c>
    </row>
    <row r="20" spans="3:9" x14ac:dyDescent="0.25">
      <c r="C20" s="40"/>
      <c r="I20" s="40" t="s">
        <v>111</v>
      </c>
    </row>
    <row r="21" spans="3:9" ht="15.75" customHeight="1" x14ac:dyDescent="0.25">
      <c r="C21" s="40"/>
      <c r="I21" s="40" t="s">
        <v>112</v>
      </c>
    </row>
    <row r="22" spans="3:9" ht="15.75" customHeight="1" x14ac:dyDescent="0.25">
      <c r="C22" s="40"/>
      <c r="I22" s="40" t="s">
        <v>113</v>
      </c>
    </row>
    <row r="23" spans="3:9" ht="15.75" customHeight="1" x14ac:dyDescent="0.25">
      <c r="C23" s="40"/>
      <c r="I23" s="40" t="s">
        <v>114</v>
      </c>
    </row>
    <row r="24" spans="3:9" ht="15.75" customHeight="1" x14ac:dyDescent="0.25">
      <c r="C24" s="40"/>
      <c r="I24" s="40" t="s">
        <v>115</v>
      </c>
    </row>
    <row r="25" spans="3:9" ht="15.75" customHeight="1" x14ac:dyDescent="0.25">
      <c r="C25" s="40"/>
      <c r="I25" s="40" t="s">
        <v>116</v>
      </c>
    </row>
    <row r="26" spans="3:9" ht="15.75" customHeight="1" x14ac:dyDescent="0.25">
      <c r="C26" s="40"/>
      <c r="I26" s="40" t="s">
        <v>117</v>
      </c>
    </row>
    <row r="27" spans="3:9" ht="15.75" customHeight="1" x14ac:dyDescent="0.25">
      <c r="C27" s="40"/>
      <c r="I27" s="40" t="s">
        <v>118</v>
      </c>
    </row>
    <row r="28" spans="3:9" ht="15.75" customHeight="1" x14ac:dyDescent="0.25">
      <c r="C28" s="40"/>
      <c r="I28" s="40" t="s">
        <v>119</v>
      </c>
    </row>
    <row r="29" spans="3:9" ht="15.75" customHeight="1" x14ac:dyDescent="0.25">
      <c r="C29" s="40"/>
      <c r="I29" s="40" t="s">
        <v>120</v>
      </c>
    </row>
    <row r="30" spans="3:9" ht="15.75" customHeight="1" x14ac:dyDescent="0.25">
      <c r="C30" s="40"/>
      <c r="I30" s="40" t="s">
        <v>121</v>
      </c>
    </row>
    <row r="31" spans="3:9" ht="15.75" customHeight="1" x14ac:dyDescent="0.25">
      <c r="C31" s="40"/>
      <c r="I31" s="40" t="s">
        <v>122</v>
      </c>
    </row>
    <row r="32" spans="3:9" ht="15.75" customHeight="1" x14ac:dyDescent="0.25"/>
    <row r="33" spans="1:5" ht="15.75" customHeight="1" x14ac:dyDescent="0.25"/>
    <row r="34" spans="1:5" ht="15.75" customHeight="1" x14ac:dyDescent="0.25"/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>
      <c r="A48" s="38" t="str">
        <f t="shared" ref="A48:A71" si="0">C48&amp;D48&amp;B48</f>
        <v>TÉCNICO EM ENFERMAGEMFIXONOITE</v>
      </c>
      <c r="B48" s="38" t="s">
        <v>9</v>
      </c>
      <c r="C48" s="40" t="s">
        <v>123</v>
      </c>
      <c r="D48" s="38" t="s">
        <v>124</v>
      </c>
      <c r="E48" s="42">
        <v>619.63</v>
      </c>
    </row>
    <row r="49" spans="1:5" ht="15.75" customHeight="1" x14ac:dyDescent="0.25">
      <c r="A49" s="38" t="str">
        <f t="shared" si="0"/>
        <v>TÉCNICO EM ENFERMAGEMPROGRESSIVONOITE</v>
      </c>
      <c r="B49" s="38" t="s">
        <v>9</v>
      </c>
      <c r="C49" s="40" t="s">
        <v>123</v>
      </c>
      <c r="D49" s="38" t="s">
        <v>125</v>
      </c>
      <c r="E49" s="42">
        <v>561.29999999999995</v>
      </c>
    </row>
    <row r="50" spans="1:5" ht="15.75" customHeight="1" x14ac:dyDescent="0.25">
      <c r="A50" s="38" t="str">
        <f t="shared" si="0"/>
        <v>TÉCNICO EM ENFERMAGEMFIXOMANHÃ</v>
      </c>
      <c r="B50" s="38" t="s">
        <v>126</v>
      </c>
      <c r="C50" s="40" t="s">
        <v>123</v>
      </c>
      <c r="D50" s="38" t="s">
        <v>124</v>
      </c>
      <c r="E50" s="42">
        <v>594.58000000000004</v>
      </c>
    </row>
    <row r="51" spans="1:5" ht="15.75" customHeight="1" x14ac:dyDescent="0.25">
      <c r="A51" s="38" t="str">
        <f t="shared" si="0"/>
        <v>TÉCNICO EM ENFERMAGEMPROGRESSIVOMANHÃ</v>
      </c>
      <c r="B51" s="38" t="s">
        <v>126</v>
      </c>
      <c r="C51" s="40" t="s">
        <v>123</v>
      </c>
      <c r="D51" s="38" t="s">
        <v>125</v>
      </c>
      <c r="E51" s="42">
        <v>511.25</v>
      </c>
    </row>
    <row r="52" spans="1:5" ht="15.75" customHeight="1" x14ac:dyDescent="0.25">
      <c r="A52" s="38" t="str">
        <f t="shared" si="0"/>
        <v>TÉCNICO EM ENFERMAGEMFIXOTARDE</v>
      </c>
      <c r="B52" s="38" t="s">
        <v>127</v>
      </c>
      <c r="C52" s="40" t="s">
        <v>123</v>
      </c>
      <c r="D52" s="38" t="s">
        <v>124</v>
      </c>
      <c r="E52" s="42">
        <v>500.87</v>
      </c>
    </row>
    <row r="53" spans="1:5" ht="15.75" customHeight="1" x14ac:dyDescent="0.25">
      <c r="A53" s="38" t="str">
        <f t="shared" si="0"/>
        <v>TÉCNICO EM ENFERMAGEMPROGRESSIVOTARDE</v>
      </c>
      <c r="B53" s="38" t="s">
        <v>127</v>
      </c>
      <c r="C53" s="40" t="s">
        <v>123</v>
      </c>
      <c r="D53" s="38" t="s">
        <v>125</v>
      </c>
      <c r="E53" s="42">
        <v>386.3</v>
      </c>
    </row>
    <row r="54" spans="1:5" ht="15.75" customHeight="1" x14ac:dyDescent="0.25">
      <c r="A54" s="38" t="str">
        <f t="shared" si="0"/>
        <v>TÉCNICO EM ADMINISTRAÇÃOFIXONOITE</v>
      </c>
      <c r="B54" s="38" t="s">
        <v>9</v>
      </c>
      <c r="C54" s="40" t="s">
        <v>128</v>
      </c>
      <c r="D54" s="38" t="s">
        <v>124</v>
      </c>
      <c r="E54" s="42">
        <v>401.2</v>
      </c>
    </row>
    <row r="55" spans="1:5" ht="15.75" customHeight="1" x14ac:dyDescent="0.25">
      <c r="A55" s="38" t="str">
        <f t="shared" si="0"/>
        <v>TÉCNICO EM ADMINISTRAÇÃOPROGRESSIVONOITE</v>
      </c>
      <c r="B55" s="38" t="s">
        <v>9</v>
      </c>
      <c r="C55" s="40" t="s">
        <v>128</v>
      </c>
      <c r="D55" s="38" t="s">
        <v>125</v>
      </c>
      <c r="E55" s="42">
        <v>361.2</v>
      </c>
    </row>
    <row r="56" spans="1:5" ht="15.75" customHeight="1" x14ac:dyDescent="0.25">
      <c r="A56" s="38" t="str">
        <f t="shared" si="0"/>
        <v>TÉCNICO EM ADMINISTRAÇÃOFIXOMANHÃ</v>
      </c>
      <c r="B56" s="38" t="s">
        <v>126</v>
      </c>
      <c r="C56" s="40" t="s">
        <v>128</v>
      </c>
      <c r="D56" s="38" t="s">
        <v>124</v>
      </c>
      <c r="E56" s="42">
        <v>388.8</v>
      </c>
    </row>
    <row r="57" spans="1:5" ht="15.75" customHeight="1" x14ac:dyDescent="0.25">
      <c r="A57" s="38" t="str">
        <f t="shared" si="0"/>
        <v>TÉCNICO EM ADMINISTRAÇÃOPROGRESSIVOMANHÃ</v>
      </c>
      <c r="B57" s="38" t="s">
        <v>126</v>
      </c>
      <c r="C57" s="40" t="s">
        <v>128</v>
      </c>
      <c r="D57" s="38" t="s">
        <v>125</v>
      </c>
      <c r="E57" s="42">
        <v>348.8</v>
      </c>
    </row>
    <row r="58" spans="1:5" ht="15.75" customHeight="1" x14ac:dyDescent="0.25">
      <c r="A58" s="38" t="str">
        <f t="shared" si="0"/>
        <v>TÉCNICO EM ADMINISTRAÇÃOFIXOTARDE</v>
      </c>
      <c r="B58" s="38" t="s">
        <v>127</v>
      </c>
      <c r="C58" s="40" t="s">
        <v>128</v>
      </c>
      <c r="D58" s="38" t="s">
        <v>124</v>
      </c>
      <c r="E58" s="42">
        <v>388.8</v>
      </c>
    </row>
    <row r="59" spans="1:5" ht="15.75" customHeight="1" x14ac:dyDescent="0.25">
      <c r="A59" s="38" t="str">
        <f t="shared" si="0"/>
        <v>TÉCNICO EM ADMINISTRAÇÃOPROGRESSIVOTARDE</v>
      </c>
      <c r="B59" s="38" t="s">
        <v>127</v>
      </c>
      <c r="C59" s="40" t="s">
        <v>128</v>
      </c>
      <c r="D59" s="38" t="s">
        <v>125</v>
      </c>
      <c r="E59" s="42">
        <v>348.8</v>
      </c>
    </row>
    <row r="60" spans="1:5" ht="15.75" customHeight="1" x14ac:dyDescent="0.25">
      <c r="A60" s="38" t="str">
        <f t="shared" si="0"/>
        <v>TÉCNICO EM RADIOLOGIAFIXONOITE</v>
      </c>
      <c r="B60" s="38" t="s">
        <v>9</v>
      </c>
      <c r="C60" s="40" t="s">
        <v>129</v>
      </c>
      <c r="D60" s="38" t="s">
        <v>124</v>
      </c>
      <c r="E60" s="42">
        <v>619.63</v>
      </c>
    </row>
    <row r="61" spans="1:5" ht="15.75" customHeight="1" x14ac:dyDescent="0.25">
      <c r="A61" s="38" t="str">
        <f t="shared" si="0"/>
        <v>TÉCNICO EM RADIOLOGIAPROGRESSIVONOITE</v>
      </c>
      <c r="B61" s="38" t="s">
        <v>9</v>
      </c>
      <c r="C61" s="40" t="s">
        <v>129</v>
      </c>
      <c r="D61" s="38" t="s">
        <v>125</v>
      </c>
      <c r="E61" s="42">
        <v>561.29999999999995</v>
      </c>
    </row>
    <row r="62" spans="1:5" ht="15.75" customHeight="1" x14ac:dyDescent="0.25">
      <c r="A62" s="38" t="str">
        <f t="shared" si="0"/>
        <v>TÉCNICO EM RADIOLOGIAFIXOMANHÃ</v>
      </c>
      <c r="B62" s="38" t="s">
        <v>126</v>
      </c>
      <c r="C62" s="40" t="s">
        <v>129</v>
      </c>
      <c r="D62" s="38" t="s">
        <v>124</v>
      </c>
      <c r="E62" s="42">
        <v>594.58000000000004</v>
      </c>
    </row>
    <row r="63" spans="1:5" ht="15.75" customHeight="1" x14ac:dyDescent="0.25">
      <c r="A63" s="38" t="str">
        <f t="shared" si="0"/>
        <v>TÉCNICO EM RADIOLOGIAPROGRESSIVOMANHÃ</v>
      </c>
      <c r="B63" s="38" t="s">
        <v>126</v>
      </c>
      <c r="C63" s="40" t="s">
        <v>129</v>
      </c>
      <c r="D63" s="38" t="s">
        <v>125</v>
      </c>
      <c r="E63" s="42">
        <v>511.25</v>
      </c>
    </row>
    <row r="64" spans="1:5" ht="15.75" customHeight="1" x14ac:dyDescent="0.25">
      <c r="A64" s="38" t="str">
        <f t="shared" si="0"/>
        <v>TÉCNICO EM RADIOLOGIAFIXOTARDE</v>
      </c>
      <c r="B64" s="38" t="s">
        <v>127</v>
      </c>
      <c r="C64" s="40" t="s">
        <v>129</v>
      </c>
      <c r="D64" s="38" t="s">
        <v>124</v>
      </c>
      <c r="E64" s="42">
        <v>500.87</v>
      </c>
    </row>
    <row r="65" spans="1:5" ht="15.75" customHeight="1" x14ac:dyDescent="0.25">
      <c r="A65" s="38" t="str">
        <f t="shared" si="0"/>
        <v>TÉCNICO EM RADIOLOGIAPROGRESSIVOTARDE</v>
      </c>
      <c r="B65" s="38" t="s">
        <v>127</v>
      </c>
      <c r="C65" s="40" t="s">
        <v>129</v>
      </c>
      <c r="D65" s="38" t="s">
        <v>125</v>
      </c>
      <c r="E65" s="42">
        <v>386.3</v>
      </c>
    </row>
    <row r="66" spans="1:5" ht="15.75" customHeight="1" x14ac:dyDescent="0.25">
      <c r="A66" s="38" t="str">
        <f t="shared" si="0"/>
        <v>TÉCNICO EM INFORMÁTICAFIXONOITE</v>
      </c>
      <c r="B66" s="38" t="s">
        <v>9</v>
      </c>
      <c r="C66" s="40" t="s">
        <v>130</v>
      </c>
      <c r="D66" s="38" t="s">
        <v>124</v>
      </c>
      <c r="E66" s="42">
        <v>506.24</v>
      </c>
    </row>
    <row r="67" spans="1:5" ht="15.75" customHeight="1" x14ac:dyDescent="0.25">
      <c r="A67" s="38" t="str">
        <f t="shared" si="0"/>
        <v>TÉCNICO EM INFORMÁTICAPROGRESSIVONOITE</v>
      </c>
      <c r="B67" s="38" t="s">
        <v>9</v>
      </c>
      <c r="C67" s="40" t="s">
        <v>130</v>
      </c>
      <c r="D67" s="38" t="s">
        <v>125</v>
      </c>
      <c r="E67" s="42">
        <v>444.99</v>
      </c>
    </row>
    <row r="68" spans="1:5" ht="15.75" customHeight="1" x14ac:dyDescent="0.25">
      <c r="A68" s="38" t="str">
        <f t="shared" si="0"/>
        <v>TÉCNICO EM INFORMÁTICAFIXOMANHÃ</v>
      </c>
      <c r="B68" s="38" t="s">
        <v>126</v>
      </c>
      <c r="C68" s="40" t="s">
        <v>130</v>
      </c>
      <c r="D68" s="38" t="s">
        <v>124</v>
      </c>
      <c r="E68" s="42">
        <v>506.24</v>
      </c>
    </row>
    <row r="69" spans="1:5" ht="15.75" customHeight="1" x14ac:dyDescent="0.25">
      <c r="A69" s="38" t="str">
        <f t="shared" si="0"/>
        <v>TÉCNICO EM INFORMÁTICAPROGRESSIVOMANHÃ</v>
      </c>
      <c r="B69" s="38" t="s">
        <v>126</v>
      </c>
      <c r="C69" s="40" t="s">
        <v>130</v>
      </c>
      <c r="D69" s="38" t="s">
        <v>125</v>
      </c>
      <c r="E69" s="42">
        <v>444.99</v>
      </c>
    </row>
    <row r="70" spans="1:5" ht="15.75" customHeight="1" x14ac:dyDescent="0.25">
      <c r="A70" s="38" t="str">
        <f t="shared" si="0"/>
        <v>TÉCNICO EM ENFERMAGEMFIXOSABÁDO</v>
      </c>
      <c r="B70" s="38" t="s">
        <v>131</v>
      </c>
      <c r="C70" s="40" t="s">
        <v>123</v>
      </c>
      <c r="D70" s="38" t="s">
        <v>124</v>
      </c>
      <c r="E70" s="42">
        <v>532.5</v>
      </c>
    </row>
    <row r="71" spans="1:5" ht="15.75" customHeight="1" x14ac:dyDescent="0.25">
      <c r="A71" s="38" t="str">
        <f t="shared" si="0"/>
        <v>TÉCNICO EM ENFERMAGEMPROGRESSIVOSABÁDO</v>
      </c>
      <c r="B71" s="38" t="s">
        <v>131</v>
      </c>
      <c r="C71" s="40" t="s">
        <v>123</v>
      </c>
      <c r="D71" s="38" t="s">
        <v>125</v>
      </c>
      <c r="E71" s="42">
        <v>436</v>
      </c>
    </row>
    <row r="72" spans="1:5" ht="15.75" customHeight="1" x14ac:dyDescent="0.25"/>
    <row r="73" spans="1:5" ht="15.75" customHeight="1" x14ac:dyDescent="0.25"/>
    <row r="74" spans="1:5" ht="15.75" customHeight="1" x14ac:dyDescent="0.25"/>
    <row r="75" spans="1:5" ht="15.75" customHeight="1" x14ac:dyDescent="0.25"/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 matricula</vt:lpstr>
      <vt:lpstr>banco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Grau P</dc:creator>
  <cp:lastModifiedBy>Instituto Mix</cp:lastModifiedBy>
  <dcterms:created xsi:type="dcterms:W3CDTF">2024-11-13T12:59:48Z</dcterms:created>
  <dcterms:modified xsi:type="dcterms:W3CDTF">2026-01-19T20:21:12Z</dcterms:modified>
</cp:coreProperties>
</file>